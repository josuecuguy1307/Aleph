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49025048246ac" /><Relationship Type="http://schemas.openxmlformats.org/package/2006/relationships/metadata/core-properties" Target="/docProps/core.xml" Id="R0e9d7946a2684bec" /><Relationship Type="http://schemas.openxmlformats.org/officeDocument/2006/relationships/extended-properties" Target="/docProps/app.xml" Id="R1f42ce82bb1c4ef5" /><Relationship Type="http://schemas.openxmlformats.org/officeDocument/2006/relationships/custom-properties" Target="/docProps/custom.xml" Id="R67e7b034265441a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Gastos" sheetId="1" r:id="rId1"/>
    <x:sheet name="Resumen" sheetId="2" r:id="R82d177776394494a"/>
  </x:sheets>
  <x:calcPr fullCalcOnLoad="1"/>
</x:workbook>
</file>

<file path=xl/styles.xml><?xml version="1.0" encoding="utf-8"?>
<x:styleSheet xmlns:x="http://schemas.openxmlformats.org/spreadsheetml/2006/main">
  <x:numFmts count="1">
    <x:numFmt numFmtId="164" formatCode="$#,##0.00"/>
  </x:numFmts>
  <x:fonts count="2">
    <x:font>
      <x:sz val="11"/>
      <x:name val="Calibri"/>
    </x:font>
    <x:font>
      <x:b/>
      <x:sz val="11"/>
      <x:color rgb="FF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54823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double"/>
      <x:right style="double"/>
      <x:top style="double"/>
      <x:bottom style="double"/>
      <x:diagonal/>
    </x:border>
  </x:borders>
  <x:cellStyleXfs count="1">
    <x:xf numFmtId="0" fontId="0" fillId="0" borderId="0"/>
  </x:cellStyleXfs>
  <x:cellXfs count="13">
    <x:xf numFmtId="0" fontId="0" fillId="0" borderId="0"/>
    <x:xf numFmtId="0" fontId="1" fillId="2" borderId="1" applyFont="1" applyFill="1" applyBorder="1" applyAlignment="1">
      <x:alignment horizontal="center" wrapText="1"/>
    </x:xf>
    <x:xf numFmtId="0" fontId="0" fillId="0" borderId="1" applyBorder="1" applyAlignment="1">
      <x:alignment wrapText="1"/>
    </x:xf>
    <x:xf numFmtId="0" fontId="0" fillId="0" borderId="1" applyBorder="1" applyAlignment="1">
      <x:alignment horizontal="right" wrapText="1"/>
    </x:xf>
    <x:xf numFmtId="164" fontId="0" fillId="0" borderId="1" applyNumberFormat="1" applyBorder="1" applyAlignment="1">
      <x:alignment horizontal="right" wrapText="1"/>
    </x:xf>
    <x:xf numFmtId="164" fontId="0" fillId="3" borderId="1" applyNumberFormat="1" applyFill="1" applyBorder="1"/>
    <x:xf numFmtId="0" fontId="1" fillId="4" borderId="2" applyFont="1" applyFill="1" applyBorder="1"/>
    <x:xf numFmtId="164" fontId="1" fillId="4" borderId="2" applyNumberFormat="1" applyFont="1" applyFill="1" applyBorder="1"/>
    <x:xf numFmtId="0" fontId="1" fillId="5" borderId="1" applyFont="1" applyFill="1" applyBorder="1" applyAlignment="1">
      <x:alignment horizontal="center"/>
    </x:xf>
    <x:xf numFmtId="0" fontId="0" fillId="0" borderId="1" applyBorder="1"/>
    <x:xf numFmtId="164" fontId="0" fillId="6" borderId="1" applyNumberFormat="1" applyFill="1" applyBorder="1"/>
    <x:xf numFmtId="0" fontId="1" fillId="7" borderId="2" applyFont="1" applyFill="1" applyBorder="1"/>
    <x:xf numFmtId="164" fontId="1" fillId="7" borderId="2" applyNumberFormat="1" applyFont="1" applyFill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7d471f2b10ae4299" /><Relationship Type="http://schemas.openxmlformats.org/officeDocument/2006/relationships/worksheet" Target="/xl/worksheets/sheet2.xml" Id="R82d177776394494a" /><Relationship Type="http://schemas.openxmlformats.org/officeDocument/2006/relationships/styles" Target="/xl/styles.xml" Id="R3a9b16bd106f49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8d17aa575e461b" /></Relationships>
</file>

<file path=xl/drawings/charts/chart1.xml><?xml version="1.0" encoding="utf-8"?>
<c:chartSpace xmlns:c="http://schemas.openxmlformats.org/drawingml/2006/chart">
  <c:date1904 val="0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>
                <a:solidFill>
                  <a:srgbClr val="44546A"/>
                </a:solidFill>
              </a:rPr>
              <a:t>Presupuesto por categoría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2E75B6"/>
            </a:solidFill>
          </c:spPr>
          <c:invertIfNegative val="0"/>
          <c:cat>
            <c:strRef>
              <c:f>Resumen!$A$2:$A$7</c:f>
              <c:strCache>
                <c:ptCount val="6"/>
                <c:pt idx="0">
                  <c:v>Vehículos</c:v>
                </c:pt>
                <c:pt idx="1">
                  <c:v>Colección</c:v>
                </c:pt>
                <c:pt idx="2">
                  <c:v>Tecnología</c:v>
                </c:pt>
                <c:pt idx="3">
                  <c:v>Personal</c:v>
                </c:pt>
                <c:pt idx="4">
                  <c:v>Operación</c:v>
                </c:pt>
                <c:pt idx="5">
                  <c:v>Comunicación</c:v>
                </c:pt>
              </c:strCache>
            </c:strRef>
          </c:cat>
          <c:val>
            <c:numRef>
              <c:f>Resumen!$B$2:$B$7</c:f>
              <c:numCache>
                <c:formatCode>General</c:formatCode>
                <c:ptCount val="6"/>
                <c:pt idx="0">
                  <c:v>114600</c:v>
                </c:pt>
                <c:pt idx="1">
                  <c:v>67680</c:v>
                </c:pt>
                <c:pt idx="2">
                  <c:v>17920</c:v>
                </c:pt>
                <c:pt idx="3">
                  <c:v>162000</c:v>
                </c:pt>
                <c:pt idx="4">
                  <c:v>37560</c:v>
                </c:pt>
                <c:pt idx="5">
                  <c:v>23980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xmlns:a="http://schemas.openxmlformats.org/drawingml/2006/main" w="6350">
            <a:solidFill>
              <a:srgbClr val="8B949E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4546A"/>
                </a:solidFill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5080">
              <a:solidFill>
                <a:srgbClr val="D6DCE4"/>
              </a:solidFill>
            </a:ln>
          </c:spPr>
        </c:majorGridlines>
        <c:numFmt formatCode="$#,##0" sourceLinked="0"/>
        <c:majorTickMark val="out"/>
        <c:minorTickMark val="none"/>
        <c:tickLblPos val="nextTo"/>
        <c:spPr>
          <a:ln xmlns:a="http://schemas.openxmlformats.org/drawingml/2006/main" w="6350">
            <a:solidFill>
              <a:srgbClr val="8B949E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4546A"/>
                </a:solidFill>
              </a:defRPr>
            </a:pPr>
          </a:p>
        </c:txPr>
        <c:crossAx val="1"/>
        <c:crosses val="autoZero"/>
        <c:crossBetween val="between"/>
      </c:valAx>
      <c:spPr>
        <a:noFill xmlns:a="http://schemas.openxmlformats.org/drawingml/2006/main"/>
        <a:ln xmlns:a="http://schemas.openxmlformats.org/drawingml/2006/main" w="3810">
          <a:solidFill>
            <a:srgbClr val="D6DCE4"/>
          </a:solidFill>
        </a:ln>
      </c:spPr>
    </c:plotArea>
    <c:legend>
      <c:legendPos val="r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44546A"/>
              </a:solidFill>
            </a:defRPr>
          </a:pPr>
        </a:p>
      </c:txPr>
    </c:legend>
    <c:plotVisOnly val="1"/>
    <c:dispBlanksAs val="gap"/>
  </c:chart>
  <c:spPr>
    <a:noFill xmlns:a="http://schemas.openxmlformats.org/drawingml/2006/main"/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10</xdr:col>
      <xdr:colOff>0</xdr:colOff>
      <xdr:row>17</xdr:row>
      <xdr:rowOff>0</xdr:rowOff>
    </xdr:to>
    <xdr:graphicFrame>
      <xdr:nvGraphicFramePr>
        <xdr:cNvPr id="2" name="Presupuesto por categoría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8d17aa575e461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4b1e5f397884785" /></Relationships>
</file>

<file path=xl/worksheets/sheet1.xml><?xml version="1.0" encoding="utf-8"?>
<x:worksheet xmlns:x="http://schemas.openxmlformats.org/spreadsheetml/2006/main">
  <x:sheetPr>
    <x:tabColor rgb="FF2F75B5"/>
  </x:sheetPr>
  <x:sheetData>
    <x:row r="1">
      <x:c r="A1" s="1" t="str">
        <x:v>Categoría</x:v>
      </x:c>
      <x:c r="B1" s="1" t="str">
        <x:v>Concepto</x:v>
      </x:c>
      <x:c r="C1" s="1" t="str">
        <x:v>Cantidad</x:v>
      </x:c>
      <x:c r="D1" s="1" t="str">
        <x:v>Precio unitario (USD)</x:v>
      </x:c>
      <x:c r="E1" s="1" t="str">
        <x:v>Subtotal (USD)</x:v>
      </x:c>
    </x:row>
    <x:row r="2">
      <x:c r="A2" s="2" t="str">
        <x:v>Vehículos</x:v>
      </x:c>
      <x:c r="B2" s="2" t="str">
        <x:v>Minibús acondicionado</x:v>
      </x:c>
      <x:c r="C2" s="3">
        <x:v>2</x:v>
      </x:c>
      <x:c r="D2" s="4">
        <x:v>48000</x:v>
      </x:c>
      <x:c r="E2" s="5">
        <x:f>C2*D2</x:f>
        <x:v>96000</x:v>
      </x:c>
    </x:row>
    <x:row r="3">
      <x:c r="A3" s="2" t="str">
        <x:v>Vehículos</x:v>
      </x:c>
      <x:c r="B3" s="2" t="str">
        <x:v>Rotulación exterior</x:v>
      </x:c>
      <x:c r="C3" s="3">
        <x:v>2</x:v>
      </x:c>
      <x:c r="D3" s="4">
        <x:v>1800</x:v>
      </x:c>
      <x:c r="E3" s="5">
        <x:f>C3*D3</x:f>
        <x:v>3600</x:v>
      </x:c>
    </x:row>
    <x:row r="4">
      <x:c r="A4" s="2" t="str">
        <x:v>Vehículos</x:v>
      </x:c>
      <x:c r="B4" s="2" t="str">
        <x:v>Estanterías modulares</x:v>
      </x:c>
      <x:c r="C4" s="3">
        <x:v>12</x:v>
      </x:c>
      <x:c r="D4" s="4">
        <x:v>850</x:v>
      </x:c>
      <x:c r="E4" s="5">
        <x:f>C4*D4</x:f>
        <x:v>10200</x:v>
      </x:c>
    </x:row>
    <x:row r="5">
      <x:c r="A5" s="2" t="str">
        <x:v>Vehículos</x:v>
      </x:c>
      <x:c r="B5" s="2" t="str">
        <x:v>Seguro anual</x:v>
      </x:c>
      <x:c r="C5" s="3">
        <x:v>2</x:v>
      </x:c>
      <x:c r="D5" s="4">
        <x:v>2400</x:v>
      </x:c>
      <x:c r="E5" s="5">
        <x:f>C5*D5</x:f>
        <x:v>4800</x:v>
      </x:c>
    </x:row>
    <x:row r="6">
      <x:c r="A6" s="2" t="str">
        <x:v>Colección</x:v>
      </x:c>
      <x:c r="B6" s="2" t="str">
        <x:v>Libros impresos</x:v>
      </x:c>
      <x:c r="C6" s="3">
        <x:v>2400</x:v>
      </x:c>
      <x:c r="D6" s="4">
        <x:v>18</x:v>
      </x:c>
      <x:c r="E6" s="5">
        <x:f>C6*D6</x:f>
        <x:v>43200</x:v>
      </x:c>
    </x:row>
    <x:row r="7">
      <x:c r="A7" s="2" t="str">
        <x:v>Colección</x:v>
      </x:c>
      <x:c r="B7" s="2" t="str">
        <x:v>Licencias de audiolibros</x:v>
      </x:c>
      <x:c r="C7" s="3">
        <x:v>120</x:v>
      </x:c>
      <x:c r="D7" s="4">
        <x:v>45</x:v>
      </x:c>
      <x:c r="E7" s="5">
        <x:f>C7*D7</x:f>
        <x:v>5400</x:v>
      </x:c>
    </x:row>
    <x:row r="8">
      <x:c r="A8" s="2" t="str">
        <x:v>Colección</x:v>
      </x:c>
      <x:c r="B8" s="2" t="str">
        <x:v>Tabletas de lectura</x:v>
      </x:c>
      <x:c r="C8" s="3">
        <x:v>24</x:v>
      </x:c>
      <x:c r="D8" s="4">
        <x:v>520</x:v>
      </x:c>
      <x:c r="E8" s="5">
        <x:f>C8*D8</x:f>
        <x:v>12480</x:v>
      </x:c>
    </x:row>
    <x:row r="9">
      <x:c r="A9" s="2" t="str">
        <x:v>Colección</x:v>
      </x:c>
      <x:c r="B9" s="2" t="str">
        <x:v>Material de lectura fácil</x:v>
      </x:c>
      <x:c r="C9" s="3">
        <x:v>300</x:v>
      </x:c>
      <x:c r="D9" s="4">
        <x:v>22</x:v>
      </x:c>
      <x:c r="E9" s="5">
        <x:f>C9*D9</x:f>
        <x:v>6600</x:v>
      </x:c>
    </x:row>
    <x:row r="10">
      <x:c r="A10" s="2" t="str">
        <x:v>Tecnología</x:v>
      </x:c>
      <x:c r="B10" s="2" t="str">
        <x:v>Computadores portátiles</x:v>
      </x:c>
      <x:c r="C10" s="3">
        <x:v>6</x:v>
      </x:c>
      <x:c r="D10" s="4">
        <x:v>1100</x:v>
      </x:c>
      <x:c r="E10" s="5">
        <x:f>C10*D10</x:f>
        <x:v>6600</x:v>
      </x:c>
    </x:row>
    <x:row r="11">
      <x:c r="A11" s="2" t="str">
        <x:v>Tecnología</x:v>
      </x:c>
      <x:c r="B11" s="2" t="str">
        <x:v>Enrutadores móviles</x:v>
      </x:c>
      <x:c r="C11" s="3">
        <x:v>4</x:v>
      </x:c>
      <x:c r="D11" s="4">
        <x:v>380</x:v>
      </x:c>
      <x:c r="E11" s="5">
        <x:f>C11*D11</x:f>
        <x:v>1520</x:v>
      </x:c>
    </x:row>
    <x:row r="12">
      <x:c r="A12" s="2" t="str">
        <x:v>Tecnología</x:v>
      </x:c>
      <x:c r="B12" s="2" t="str">
        <x:v>Sistema de préstamo</x:v>
      </x:c>
      <x:c r="C12" s="3">
        <x:v>1</x:v>
      </x:c>
      <x:c r="D12" s="4">
        <x:v>8500</x:v>
      </x:c>
      <x:c r="E12" s="5">
        <x:f>C12*D12</x:f>
        <x:v>8500</x:v>
      </x:c>
    </x:row>
    <x:row r="13">
      <x:c r="A13" s="2" t="str">
        <x:v>Tecnología</x:v>
      </x:c>
      <x:c r="B13" s="2" t="str">
        <x:v>Impresoras portátiles</x:v>
      </x:c>
      <x:c r="C13" s="3">
        <x:v>2</x:v>
      </x:c>
      <x:c r="D13" s="4">
        <x:v>650</x:v>
      </x:c>
      <x:c r="E13" s="5">
        <x:f>C13*D13</x:f>
        <x:v>1300</x:v>
      </x:c>
    </x:row>
    <x:row r="14">
      <x:c r="A14" s="2" t="str">
        <x:v>Personal</x:v>
      </x:c>
      <x:c r="B14" s="2" t="str">
        <x:v>Coordinación anual</x:v>
      </x:c>
      <x:c r="C14" s="3">
        <x:v>12</x:v>
      </x:c>
      <x:c r="D14" s="4">
        <x:v>2200</x:v>
      </x:c>
      <x:c r="E14" s="5">
        <x:f>C14*D14</x:f>
        <x:v>26400</x:v>
      </x:c>
    </x:row>
    <x:row r="15">
      <x:c r="A15" s="2" t="str">
        <x:v>Personal</x:v>
      </x:c>
      <x:c r="B15" s="2" t="str">
        <x:v>Bibliotecarios móviles</x:v>
      </x:c>
      <x:c r="C15" s="3">
        <x:v>36</x:v>
      </x:c>
      <x:c r="D15" s="4">
        <x:v>1800</x:v>
      </x:c>
      <x:c r="E15" s="5">
        <x:f>C15*D15</x:f>
        <x:v>64800</x:v>
      </x:c>
    </x:row>
    <x:row r="16">
      <x:c r="A16" s="2" t="str">
        <x:v>Personal</x:v>
      </x:c>
      <x:c r="B16" s="2" t="str">
        <x:v>Conductores</x:v>
      </x:c>
      <x:c r="C16" s="3">
        <x:v>24</x:v>
      </x:c>
      <x:c r="D16" s="4">
        <x:v>1500</x:v>
      </x:c>
      <x:c r="E16" s="5">
        <x:f>C16*D16</x:f>
        <x:v>36000</x:v>
      </x:c>
    </x:row>
    <x:row r="17">
      <x:c r="A17" s="2" t="str">
        <x:v>Personal</x:v>
      </x:c>
      <x:c r="B17" s="2" t="str">
        <x:v>Mediadores de lectura</x:v>
      </x:c>
      <x:c r="C17" s="3">
        <x:v>24</x:v>
      </x:c>
      <x:c r="D17" s="4">
        <x:v>1450</x:v>
      </x:c>
      <x:c r="E17" s="5">
        <x:f>C17*D17</x:f>
        <x:v>34800</x:v>
      </x:c>
    </x:row>
    <x:row r="18">
      <x:c r="A18" s="2" t="str">
        <x:v>Operación</x:v>
      </x:c>
      <x:c r="B18" s="2" t="str">
        <x:v>Combustible mensual</x:v>
      </x:c>
      <x:c r="C18" s="3">
        <x:v>12</x:v>
      </x:c>
      <x:c r="D18" s="4">
        <x:v>1600</x:v>
      </x:c>
      <x:c r="E18" s="5">
        <x:f>C18*D18</x:f>
        <x:v>19200</x:v>
      </x:c>
    </x:row>
    <x:row r="19">
      <x:c r="A19" s="2" t="str">
        <x:v>Operación</x:v>
      </x:c>
      <x:c r="B19" s="2" t="str">
        <x:v>Mantenimiento mensual</x:v>
      </x:c>
      <x:c r="C19" s="3">
        <x:v>12</x:v>
      </x:c>
      <x:c r="D19" s="4">
        <x:v>900</x:v>
      </x:c>
      <x:c r="E19" s="5">
        <x:f>C19*D19</x:f>
        <x:v>10800</x:v>
      </x:c>
    </x:row>
    <x:row r="20">
      <x:c r="A20" s="2" t="str">
        <x:v>Operación</x:v>
      </x:c>
      <x:c r="B20" s="2" t="str">
        <x:v>Conectividad mensual</x:v>
      </x:c>
      <x:c r="C20" s="3">
        <x:v>12</x:v>
      </x:c>
      <x:c r="D20" s="4">
        <x:v>280</x:v>
      </x:c>
      <x:c r="E20" s="5">
        <x:f>C20*D20</x:f>
        <x:v>3360</x:v>
      </x:c>
    </x:row>
    <x:row r="21">
      <x:c r="A21" s="2" t="str">
        <x:v>Operación</x:v>
      </x:c>
      <x:c r="B21" s="2" t="str">
        <x:v>Permisos y logística</x:v>
      </x:c>
      <x:c r="C21" s="3">
        <x:v>12</x:v>
      </x:c>
      <x:c r="D21" s="4">
        <x:v>350</x:v>
      </x:c>
      <x:c r="E21" s="5">
        <x:f>C21*D21</x:f>
        <x:v>4200</x:v>
      </x:c>
    </x:row>
    <x:row r="22">
      <x:c r="A22" s="2" t="str">
        <x:v>Comunicación</x:v>
      </x:c>
      <x:c r="B22" s="2" t="str">
        <x:v>Campaña de lanzamiento</x:v>
      </x:c>
      <x:c r="C22" s="3">
        <x:v>1</x:v>
      </x:c>
      <x:c r="D22" s="4">
        <x:v>6500</x:v>
      </x:c>
      <x:c r="E22" s="5">
        <x:f>C22*D22</x:f>
        <x:v>6500</x:v>
      </x:c>
    </x:row>
    <x:row r="23">
      <x:c r="A23" s="2" t="str">
        <x:v>Comunicación</x:v>
      </x:c>
      <x:c r="B23" s="2" t="str">
        <x:v>Talleres comunitarios</x:v>
      </x:c>
      <x:c r="C23" s="3">
        <x:v>24</x:v>
      </x:c>
      <x:c r="D23" s="4">
        <x:v>420</x:v>
      </x:c>
      <x:c r="E23" s="5">
        <x:f>C23*D23</x:f>
        <x:v>10080</x:v>
      </x:c>
    </x:row>
    <x:row r="24">
      <x:c r="A24" s="2" t="str">
        <x:v>Comunicación</x:v>
      </x:c>
      <x:c r="B24" s="2" t="str">
        <x:v>Material promocional</x:v>
      </x:c>
      <x:c r="C24" s="3">
        <x:v>3000</x:v>
      </x:c>
      <x:c r="D24" s="4">
        <x:v>1.2</x:v>
      </x:c>
      <x:c r="E24" s="5">
        <x:f>C24*D24</x:f>
        <x:v>3600</x:v>
      </x:c>
    </x:row>
    <x:row r="25">
      <x:c r="A25" s="2" t="str">
        <x:v>Comunicación</x:v>
      </x:c>
      <x:c r="B25" s="2" t="str">
        <x:v>Encuestas de satisfacción</x:v>
      </x:c>
      <x:c r="C25" s="3">
        <x:v>4</x:v>
      </x:c>
      <x:c r="D25" s="4">
        <x:v>950</x:v>
      </x:c>
      <x:c r="E25" s="5">
        <x:f>C25*D25</x:f>
        <x:v>3800</x:v>
      </x:c>
    </x:row>
    <x:row r="26">
      <x:c r="D26" s="6" t="str">
        <x:v>TOTAL GENERAL</x:v>
      </x:c>
      <x:c r="E26" s="7">
        <x:f>SUM(E2:E25)</x:f>
        <x:v>423740</x:v>
      </x:c>
    </x:row>
  </x:sheetData>
  <x:autoFilter ref="A1:E25"/>
</x:worksheet>
</file>

<file path=xl/worksheets/sheet2.xml><?xml version="1.0" encoding="utf-8"?>
<x:worksheet xmlns:x="http://schemas.openxmlformats.org/spreadsheetml/2006/main">
  <x:sheetPr>
    <x:tabColor rgb="FF70AD47"/>
  </x:sheetPr>
  <x:sheetData>
    <x:row r="1">
      <x:c r="A1" s="8" t="str">
        <x:v>Categoría</x:v>
      </x:c>
      <x:c r="B1" s="8" t="str">
        <x:v>Total (USD)</x:v>
      </x:c>
    </x:row>
    <x:row r="2">
      <x:c r="A2" s="9" t="str">
        <x:v>Vehículos</x:v>
      </x:c>
      <x:c r="B2" s="10">
        <x:f>SUMIF(Gastos!$A$2:$A$25,A2,Gastos!$E$2:$E$25)</x:f>
        <x:v>114600</x:v>
      </x:c>
    </x:row>
    <x:row r="3">
      <x:c r="A3" s="9" t="str">
        <x:v>Colección</x:v>
      </x:c>
      <x:c r="B3" s="10">
        <x:f>SUMIF(Gastos!$A$2:$A$25,A3,Gastos!$E$2:$E$25)</x:f>
        <x:v>67680</x:v>
      </x:c>
    </x:row>
    <x:row r="4">
      <x:c r="A4" s="9" t="str">
        <x:v>Tecnología</x:v>
      </x:c>
      <x:c r="B4" s="10">
        <x:f>SUMIF(Gastos!$A$2:$A$25,A4,Gastos!$E$2:$E$25)</x:f>
        <x:v>17920</x:v>
      </x:c>
    </x:row>
    <x:row r="5">
      <x:c r="A5" s="9" t="str">
        <x:v>Personal</x:v>
      </x:c>
      <x:c r="B5" s="10">
        <x:f>SUMIF(Gastos!$A$2:$A$25,A5,Gastos!$E$2:$E$25)</x:f>
        <x:v>162000</x:v>
      </x:c>
    </x:row>
    <x:row r="6">
      <x:c r="A6" s="9" t="str">
        <x:v>Operación</x:v>
      </x:c>
      <x:c r="B6" s="10">
        <x:f>SUMIF(Gastos!$A$2:$A$25,A6,Gastos!$E$2:$E$25)</x:f>
        <x:v>37560</x:v>
      </x:c>
    </x:row>
    <x:row r="7">
      <x:c r="A7" s="9" t="str">
        <x:v>Comunicación</x:v>
      </x:c>
      <x:c r="B7" s="10">
        <x:f>SUMIF(Gastos!$A$2:$A$25,A7,Gastos!$E$2:$E$25)</x:f>
        <x:v>23980</x:v>
      </x:c>
    </x:row>
    <x:row r="8">
      <x:c r="A8" s="11" t="str">
        <x:v>TOTAL GENERAL</x:v>
      </x:c>
      <x:c r="B8" s="12">
        <x:f>SUM(B2:B7)</x:f>
        <x:v>423740</x:v>
      </x:c>
    </x:row>
  </x:sheetData>
  <x:drawing xmlns:r="http://schemas.openxmlformats.org/officeDocument/2006/relationships" r:id="R74b1e5f397884785"/>
</x:worksheet>
</file>

<file path=docProps/app.xml><?xml version="1.0" encoding="utf-8"?>
<ap:Properties xmlns:ap="http://schemas.openxmlformats.org/officeDocument/2006/extended-properties">
  <ap:Application>OfficeCLI/1.0.149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2026-09-12T14:33:04Z</dcterms:created>
  <cp:lastModifiedBy>OfficeCLI</cp:lastModifiedBy>
  <dcterms:modified xsi:type="dcterms:W3CDTF">2026-09-12T14:33:04Z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1.0.149</vt:lpwstr>
  </op:property>
  <op:property fmtid="{D5CDD505-2E9C-101B-9397-08002B2CF9AE}" pid="3" name="OfficeCLI.LastModified">
    <vt:lpwstr xmlns:vt="http://schemas.openxmlformats.org/officeDocument/2006/docPropsVTypes">2026-09-12T14:33:05Z</vt:lpwstr>
  </op:property>
</op:Properties>
</file>